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ocuments\AirBNB\github_repository\"/>
    </mc:Choice>
  </mc:AlternateContent>
  <xr:revisionPtr revIDLastSave="0" documentId="13_ncr:1_{D3266236-BA3A-4595-A987-A0D8E9D210D5}" xr6:coauthVersionLast="47" xr6:coauthVersionMax="47" xr10:uidLastSave="{00000000-0000-0000-0000-000000000000}"/>
  <bookViews>
    <workbookView xWindow="-108" yWindow="-108" windowWidth="23256" windowHeight="12456" activeTab="1" xr2:uid="{15ACB56D-0F08-4DB8-9B6E-43A7A5BE54E8}"/>
  </bookViews>
  <sheets>
    <sheet name="Formulario" sheetId="1" r:id="rId1"/>
    <sheet name="BBDD CoHost" sheetId="2" r:id="rId2"/>
    <sheet name="BBDD Anfitrion" sheetId="5" r:id="rId3"/>
    <sheet name="Sheet3" sheetId="3" r:id="rId4"/>
    <sheet name="Sheet4" sheetId="4" r:id="rId5"/>
  </sheets>
  <definedNames>
    <definedName name="_xlnm._FilterDatabase" localSheetId="2" hidden="1">'BBDD Anfitrion'!$A$1:$N$1</definedName>
    <definedName name="_xlnm._FilterDatabase" localSheetId="1" hidden="1">'BBDD CoHost'!$A$1:$N$27</definedName>
    <definedName name="Betty_Vargas">Sheet3!$B$11</definedName>
    <definedName name="Boris_Ayviri">Sheet3!$B$7</definedName>
    <definedName name="Dr._Ortiz">Sheet3!$B$2:$B$6</definedName>
    <definedName name="error">Sheet3!$J$2:$J$7</definedName>
    <definedName name="Familia">Sheet3!$F$2:$F$4</definedName>
    <definedName name="Gabriela_Salama">Sheet3!$B$10</definedName>
    <definedName name="Lic._Freddy_Soria">Sheet3!$B$8</definedName>
    <definedName name="Propiedad">Sheet3!$E$2</definedName>
    <definedName name="Propietario">Sheet3!$J$2:$J$7</definedName>
    <definedName name="Propietarios">Sheet3!$I$2:$I$7</definedName>
    <definedName name="Roberto_Vargas">Sheet3!$B$9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" l="1"/>
  <c r="S22" i="1"/>
  <c r="S23" i="1"/>
  <c r="S21" i="1"/>
  <c r="Q24" i="1" l="1"/>
  <c r="Q25" i="1" s="1"/>
  <c r="C29" i="1" l="1"/>
  <c r="C25" i="1"/>
  <c r="G22" i="1"/>
  <c r="G21" i="1"/>
  <c r="G24" i="1" l="1"/>
  <c r="G25" i="1" s="1"/>
  <c r="C28" i="1" l="1"/>
  <c r="C30" i="1" s="1"/>
</calcChain>
</file>

<file path=xl/sharedStrings.xml><?xml version="1.0" encoding="utf-8"?>
<sst xmlns="http://schemas.openxmlformats.org/spreadsheetml/2006/main" count="317" uniqueCount="164">
  <si>
    <t>Propiedad</t>
  </si>
  <si>
    <t>Huesped:</t>
  </si>
  <si>
    <t>Número de Niños:</t>
  </si>
  <si>
    <t>Noches:</t>
  </si>
  <si>
    <t>Propiedad:</t>
  </si>
  <si>
    <t>$us</t>
  </si>
  <si>
    <t>Precio</t>
  </si>
  <si>
    <t>AirBNB fee</t>
  </si>
  <si>
    <t>Limpieza</t>
  </si>
  <si>
    <t>Propietario</t>
  </si>
  <si>
    <t>Total en $us</t>
  </si>
  <si>
    <t>Bs:</t>
  </si>
  <si>
    <t>Contacto</t>
  </si>
  <si>
    <t>Contacto:</t>
  </si>
  <si>
    <t>Ingreso</t>
  </si>
  <si>
    <t>Ingreso:</t>
  </si>
  <si>
    <t>Salida:</t>
  </si>
  <si>
    <t>Fecha de Reservación:</t>
  </si>
  <si>
    <t>Comision:</t>
  </si>
  <si>
    <t>Propietario:</t>
  </si>
  <si>
    <t>VIDEO TUTORIAL</t>
  </si>
  <si>
    <t>https://www.excelyfinanzas.com/como-crear-formularios-dinamicos-en-excel/</t>
  </si>
  <si>
    <t>Salida</t>
  </si>
  <si>
    <t>Fecha de Reservacion</t>
  </si>
  <si>
    <t>Ingresos Totales</t>
  </si>
  <si>
    <t>Comision</t>
  </si>
  <si>
    <t>Formulario</t>
  </si>
  <si>
    <t>Publicar Github</t>
  </si>
  <si>
    <t>https://www.youtube.com/watch?v=FUgGzqcvZIs</t>
  </si>
  <si>
    <t>SKY ELITE - 320</t>
  </si>
  <si>
    <t>SKY ELITE - 524</t>
  </si>
  <si>
    <t>Dr. Ortiz</t>
  </si>
  <si>
    <t>SKY ELITE - 115</t>
  </si>
  <si>
    <t>Boris Ayviri</t>
  </si>
  <si>
    <t>Lic. Freddy Soria</t>
  </si>
  <si>
    <t>SKY ELITE - 132</t>
  </si>
  <si>
    <t>TORRE SIRARI - 5A</t>
  </si>
  <si>
    <t>HOTEL RADISSON - SENIOR SUITE</t>
  </si>
  <si>
    <t>Roberto Vargas</t>
  </si>
  <si>
    <t>SKY ELITE - 510</t>
  </si>
  <si>
    <t>Gabriela Salama</t>
  </si>
  <si>
    <t>YOU - 316</t>
  </si>
  <si>
    <t>Betty Vargas</t>
  </si>
  <si>
    <t>MACORORO 15 - 8G</t>
  </si>
  <si>
    <t>MACORORO 12 - 12F</t>
  </si>
  <si>
    <t>SKY LUXIA - 513</t>
  </si>
  <si>
    <t>Dr._Ortiz</t>
  </si>
  <si>
    <t>Boris_Ayviri</t>
  </si>
  <si>
    <t>Lic._Freddy_Soria</t>
  </si>
  <si>
    <t>Roberto_Vargas</t>
  </si>
  <si>
    <t>Gabriela_Salama</t>
  </si>
  <si>
    <t>Betty_Vargas</t>
  </si>
  <si>
    <t>Num. Adultos:</t>
  </si>
  <si>
    <t>Juan Carlos Dominguez</t>
  </si>
  <si>
    <t>16/01/2025</t>
  </si>
  <si>
    <t>25/01/2025</t>
  </si>
  <si>
    <t>27/01/2025</t>
  </si>
  <si>
    <t>24/01/2025</t>
  </si>
  <si>
    <t>26/01/2025</t>
  </si>
  <si>
    <t>Tc = 7.5</t>
  </si>
  <si>
    <t>Limpieza:</t>
  </si>
  <si>
    <t>Karin Sauma Navajasvivian Salvatierra</t>
  </si>
  <si>
    <t>17/01/2025</t>
  </si>
  <si>
    <t>19/01/2025</t>
  </si>
  <si>
    <t>21/01/2025</t>
  </si>
  <si>
    <t>Efrain Cuiza Quispa</t>
  </si>
  <si>
    <t>18/01/2025</t>
  </si>
  <si>
    <t>Hugo Andres Pizarro</t>
  </si>
  <si>
    <t>Giovanna Judith Martinez Bravo</t>
  </si>
  <si>
    <t>Mario Andres Torrico Bautista</t>
  </si>
  <si>
    <t>Ricardo Ortega</t>
  </si>
  <si>
    <t>Yudy Kahuana Soliz</t>
  </si>
  <si>
    <t>'Monoambiente exclusivo SKY Elite': 'SKY ELITE - 320'</t>
  </si>
  <si>
    <t>'Confort y Estilo en Santa Cruz' 'SKY Elite: ¡Hospédate Aquí!': 'SKY ELITE - 115'</t>
  </si>
  <si>
    <t>'En Equipetrol: Confort &amp; Estilo, Ubicación Ideal': 'MACORORO 12 - 12F'</t>
  </si>
  <si>
    <t>'Sky Elite: tu destino en Equipetrol' 'Vive la experiencia de Sky Elite': 'SKY ELITE 229'</t>
  </si>
  <si>
    <t>'Sky Elite, departamento con parqueo, gym y más': 'SKY ELITE - 132'</t>
  </si>
  <si>
    <t>'SMART YOU: Confort y Estilo' 'Dpto. 3 Dorm. con Piscina y Gym': 'YOU - 316'</t>
  </si>
  <si>
    <t>'Confort y Negocios en Santa Cruz' 'Senior Suite: Ejecutivos/Parejas': 'HOTEL RADISSON - SENIOR SUITE'</t>
  </si>
  <si>
    <t>'Sky Elite: tu destino en Equipetrol' 'Vive la experiencia de Sky Elite': 'SKY ELITE - 524'</t>
  </si>
  <si>
    <t xml:space="preserve"> 'Confort y Estilo en Santa Cruz' : 'SKY ELITE - 115'</t>
  </si>
  <si>
    <t xml:space="preserve"> 'Confort y Negocios en Santa Cruz': 'TORRES SIRARI - 5A'</t>
  </si>
  <si>
    <t>Dpto. 3 Dorm. con Piscina y Gym': 'MACORORO 15 - 8G'</t>
  </si>
  <si>
    <t>En Equipetrol: Confort &amp; Estilo, Ubicación Ideal': 'MACORORO 12 - 12F'</t>
  </si>
  <si>
    <t>EXCLUSIVO Y ELEGANTE DPTO</t>
  </si>
  <si>
    <t xml:space="preserve"> 'Monoambiente exclusivo SKY Elite': 'SKY ELITE - 320'</t>
  </si>
  <si>
    <t>Senior Suite: Ejecutivos/Parejas': 'HOTEL RADISSON - SENIOR SUITE'</t>
  </si>
  <si>
    <t>Dpto 1dorm</t>
  </si>
  <si>
    <t xml:space="preserve"> 'Sky Elite: tu destino en Equipetrol': 'SKY ELITE - 229'</t>
  </si>
  <si>
    <t>SKY Elite: ¡Hospédate Aquí!': 'SKY ELITE - 323'</t>
  </si>
  <si>
    <t xml:space="preserve"> 'SMART YOU: Confort y Estilo': 'YOU - 316'</t>
  </si>
  <si>
    <t>Vive la experiencia de Sky Elite': 'SKY ELITE - 524'</t>
  </si>
  <si>
    <t>1 dpto</t>
  </si>
  <si>
    <t>1 dorm</t>
  </si>
  <si>
    <t xml:space="preserve"> 'Sky Elite, departamento con parqueo, gym y más': 'SKY ELITE - 132'</t>
  </si>
  <si>
    <t xml:space="preserve"> 'Nuevo y estratégico departamento en Equipetrol': 'MACORORO 8'</t>
  </si>
  <si>
    <t>Exclusivo y Elegante dpto!': 'SKY ELITE - 510'</t>
  </si>
  <si>
    <t>AirBNB App</t>
  </si>
  <si>
    <t>AirBNB QR</t>
  </si>
  <si>
    <t>Ocupation Rate</t>
  </si>
  <si>
    <t>Codigo de Confirmacion</t>
  </si>
  <si>
    <t>Estado</t>
  </si>
  <si>
    <t>Nombre del huesped</t>
  </si>
  <si>
    <t>Numero de adultos</t>
  </si>
  <si>
    <t>Numero de niños</t>
  </si>
  <si>
    <t>Numero de bebes</t>
  </si>
  <si>
    <t>Fecha de inicio</t>
  </si>
  <si>
    <t>Hasta</t>
  </si>
  <si>
    <t>Numero de noches</t>
  </si>
  <si>
    <t>Reservado</t>
  </si>
  <si>
    <t>Anuncio</t>
  </si>
  <si>
    <t>Ingresos</t>
  </si>
  <si>
    <t>Ingresos Cliente</t>
  </si>
  <si>
    <t>Property Type</t>
  </si>
  <si>
    <t>Avg Lenght of Stay</t>
  </si>
  <si>
    <t>Repeated Guest</t>
  </si>
  <si>
    <t>Booking Lead Time</t>
  </si>
  <si>
    <t>Family vs Solo vs Friends</t>
  </si>
  <si>
    <t>SKY ELITE - 323</t>
  </si>
  <si>
    <t>Familia</t>
  </si>
  <si>
    <t>Jaime Diaz Garnica</t>
  </si>
  <si>
    <t>Jaime Candido Machado</t>
  </si>
  <si>
    <t>27/02/2025</t>
  </si>
  <si>
    <t>Hilda Georgina Terrazas</t>
  </si>
  <si>
    <t>Jose Valasquez</t>
  </si>
  <si>
    <t>Guillermo Alejandro Rodriguez</t>
  </si>
  <si>
    <t>28/02/2025</t>
  </si>
  <si>
    <t>Marco Antonio Lopez Zurita</t>
  </si>
  <si>
    <t>SKY ELITE - 229</t>
  </si>
  <si>
    <t>Bs</t>
  </si>
  <si>
    <t>Juan Carlos Mamani</t>
  </si>
  <si>
    <t>20/01/2025</t>
  </si>
  <si>
    <t>Alberto Cuellar Rivero</t>
  </si>
  <si>
    <t>29/01/2025</t>
  </si>
  <si>
    <t>31/01/2025</t>
  </si>
  <si>
    <t>Bladimir Muriel Mamani</t>
  </si>
  <si>
    <t>Elba Maria Bolanos del Prado</t>
  </si>
  <si>
    <t>14/02/2025</t>
  </si>
  <si>
    <t>15/02/2025</t>
  </si>
  <si>
    <t>20/02/2025</t>
  </si>
  <si>
    <t>Richard Leon Condori</t>
  </si>
  <si>
    <t>Pablo Montaño</t>
  </si>
  <si>
    <t>22/01/2025</t>
  </si>
  <si>
    <t>Renato Rodrigues</t>
  </si>
  <si>
    <t>28/01/2025</t>
  </si>
  <si>
    <t>Daniel Illescas</t>
  </si>
  <si>
    <t>+591 67985704</t>
  </si>
  <si>
    <t>Antonio Alexandre Consoni Vigano</t>
  </si>
  <si>
    <t>Erick Herrera</t>
  </si>
  <si>
    <t>+591 78434480</t>
  </si>
  <si>
    <t>Luis Alexander Espinoza La Cruz</t>
  </si>
  <si>
    <t>Jose Antonio Rivero Moro</t>
  </si>
  <si>
    <t>Gustavo Rodolfo Vega</t>
  </si>
  <si>
    <t>Ingresos Totales BOB</t>
  </si>
  <si>
    <t>Ingresos Propietario BOB</t>
  </si>
  <si>
    <t>Comision BOB</t>
  </si>
  <si>
    <t>Limpieza BOB</t>
  </si>
  <si>
    <t>Precio BOB</t>
  </si>
  <si>
    <t>AirBNB fee BOB</t>
  </si>
  <si>
    <t>Número de noches</t>
  </si>
  <si>
    <t>Nombre del huésped</t>
  </si>
  <si>
    <t>Número de adultos</t>
  </si>
  <si>
    <t>Número de niños</t>
  </si>
  <si>
    <t>Fecha de Reservación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</si>
</sst>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d/mm/yy;@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1" fillId="0" borderId="0" xfId="0" applyFont="1" applyAlignment="1">
      <alignment horizontal="right"/>
    </xf>
    <xf numFmtId="0" fontId="0" fillId="0" borderId="5" xfId="0" applyBorder="1"/>
    <xf numFmtId="0" fontId="0" fillId="0" borderId="4" xfId="0" applyBorder="1"/>
    <xf numFmtId="0" fontId="1" fillId="0" borderId="0" xfId="0" applyFont="1"/>
    <xf numFmtId="9" fontId="1" fillId="0" borderId="0" xfId="0" applyNumberFormat="1" applyFont="1"/>
    <xf numFmtId="0" fontId="1" fillId="0" borderId="4" xfId="0" applyFont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0" fontId="1" fillId="0" borderId="6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0" fillId="0" borderId="9" xfId="0" applyBorder="1"/>
    <xf numFmtId="0" fontId="0" fillId="0" borderId="0" xfId="0" quotePrefix="1"/>
    <xf numFmtId="0" fontId="3" fillId="0" borderId="0" xfId="1"/>
    <xf numFmtId="164" fontId="0" fillId="0" borderId="0" xfId="0" applyNumberFormat="1"/>
    <xf numFmtId="165" fontId="0" fillId="0" borderId="0" xfId="0" applyNumberFormat="1"/>
    <xf numFmtId="164" fontId="1" fillId="0" borderId="0" xfId="0" applyNumberFormat="1" applyFont="1" applyAlignment="1">
      <alignment horizontal="right"/>
    </xf>
    <xf numFmtId="0" fontId="0" fillId="0" borderId="4" xfId="0" applyBorder="1" applyAlignment="1">
      <alignment horizontal="right"/>
    </xf>
    <xf numFmtId="164" fontId="1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0</xdr:row>
      <xdr:rowOff>176559</xdr:rowOff>
    </xdr:from>
    <xdr:to>
      <xdr:col>7</xdr:col>
      <xdr:colOff>601980</xdr:colOff>
      <xdr:row>6</xdr:row>
      <xdr:rowOff>38101</xdr:rowOff>
    </xdr:to>
    <xdr:sp macro="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1D55F07-9F4B-AA32-0701-6E60486E8111}"/>
            </a:ext>
          </a:extLst>
        </xdr:cNvPr>
        <xdr:cNvSpPr/>
      </xdr:nvSpPr>
      <xdr:spPr>
        <a:xfrm>
          <a:off x="601980" y="176559"/>
          <a:ext cx="4772025" cy="947392"/>
        </a:xfrm>
        <a:prstGeom prst="round2Same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>
              <a:latin typeface="Aptos" panose="020B0004020202020204" pitchFamily="34" charset="0"/>
            </a:rPr>
            <a:t>Formulario AirBNB Co-Host</a:t>
          </a:r>
        </a:p>
        <a:p>
          <a:pPr algn="ctr"/>
          <a:r>
            <a:rPr lang="en-US" sz="2400" b="1" kern="1200">
              <a:latin typeface="Aptos" panose="020B0004020202020204" pitchFamily="34" charset="0"/>
            </a:rPr>
            <a:t>Pagos en Efectivo</a:t>
          </a:r>
          <a:endParaRPr lang="en-US" sz="2000" b="1" kern="1200">
            <a:latin typeface="Aptos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9</xdr:row>
          <xdr:rowOff>7620</xdr:rowOff>
        </xdr:from>
        <xdr:to>
          <xdr:col>11</xdr:col>
          <xdr:colOff>541020</xdr:colOff>
          <xdr:row>11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13</xdr:row>
          <xdr:rowOff>53340</xdr:rowOff>
        </xdr:from>
        <xdr:to>
          <xdr:col>11</xdr:col>
          <xdr:colOff>541020</xdr:colOff>
          <xdr:row>16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Registro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601980</xdr:colOff>
      <xdr:row>0</xdr:row>
      <xdr:rowOff>121920</xdr:rowOff>
    </xdr:from>
    <xdr:to>
      <xdr:col>21</xdr:col>
      <xdr:colOff>601980</xdr:colOff>
      <xdr:row>6</xdr:row>
      <xdr:rowOff>104776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1128BC0A-6192-422A-BCD8-821D10A8FE38}"/>
            </a:ext>
          </a:extLst>
        </xdr:cNvPr>
        <xdr:cNvSpPr/>
      </xdr:nvSpPr>
      <xdr:spPr>
        <a:xfrm>
          <a:off x="9641205" y="121920"/>
          <a:ext cx="4267200" cy="1068706"/>
        </a:xfrm>
        <a:prstGeom prst="round2Same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>
              <a:latin typeface="Aptos" panose="020B0004020202020204" pitchFamily="34" charset="0"/>
            </a:rPr>
            <a:t>Formulario AirBNB propios</a:t>
          </a:r>
        </a:p>
        <a:p>
          <a:pPr algn="ctr"/>
          <a:r>
            <a:rPr lang="en-US" sz="2400" b="1" kern="1200">
              <a:latin typeface="Aptos" panose="020B0004020202020204" pitchFamily="34" charset="0"/>
            </a:rPr>
            <a:t>Pagos en Efectivo</a:t>
          </a:r>
          <a:endParaRPr lang="en-US" sz="2000" b="1" kern="1200">
            <a:latin typeface="Aptos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</xdr:colOff>
          <xdr:row>9</xdr:row>
          <xdr:rowOff>7620</xdr:rowOff>
        </xdr:from>
        <xdr:to>
          <xdr:col>25</xdr:col>
          <xdr:colOff>541020</xdr:colOff>
          <xdr:row>11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</xdr:colOff>
          <xdr:row>13</xdr:row>
          <xdr:rowOff>53340</xdr:rowOff>
        </xdr:from>
        <xdr:to>
          <xdr:col>25</xdr:col>
          <xdr:colOff>541020</xdr:colOff>
          <xdr:row>16</xdr:row>
          <xdr:rowOff>30480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Registro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FUgGzqcvZI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05B6-09B4-4983-824D-3A637E158227}">
  <sheetPr codeName="Sheet1"/>
  <dimension ref="B5:V30"/>
  <sheetViews>
    <sheetView showGridLines="0" zoomScale="80" zoomScaleNormal="80" workbookViewId="0">
      <selection activeCell="J20" sqref="J20"/>
    </sheetView>
  </sheetViews>
  <sheetFormatPr defaultRowHeight="14.4" x14ac:dyDescent="0.3"/>
  <cols>
    <col min="2" max="2" width="13.77734375" customWidth="1"/>
    <col min="3" max="3" width="10.33203125" bestFit="1" customWidth="1"/>
    <col min="7" max="7" width="11" bestFit="1" customWidth="1"/>
    <col min="10" max="10" width="10.33203125" bestFit="1" customWidth="1"/>
    <col min="13" max="13" width="10.33203125" bestFit="1" customWidth="1"/>
    <col min="15" max="15" width="8" customWidth="1"/>
    <col min="16" max="16" width="13.21875" customWidth="1"/>
    <col min="17" max="17" width="10.33203125" bestFit="1" customWidth="1"/>
    <col min="21" max="21" width="12" bestFit="1" customWidth="1"/>
  </cols>
  <sheetData>
    <row r="5" spans="2:22" x14ac:dyDescent="0.3">
      <c r="M5" s="20"/>
    </row>
    <row r="8" spans="2:22" x14ac:dyDescent="0.3">
      <c r="B8" s="1"/>
      <c r="C8" s="2"/>
      <c r="D8" s="2"/>
      <c r="E8" s="2"/>
      <c r="F8" s="2"/>
      <c r="G8" s="2"/>
      <c r="H8" s="3"/>
      <c r="P8" s="1"/>
      <c r="Q8" s="2"/>
      <c r="R8" s="2"/>
      <c r="S8" s="2"/>
      <c r="T8" s="2"/>
      <c r="U8" s="2"/>
      <c r="V8" s="3"/>
    </row>
    <row r="9" spans="2:22" x14ac:dyDescent="0.3">
      <c r="B9" s="10" t="s">
        <v>1</v>
      </c>
      <c r="F9" s="5" t="s">
        <v>13</v>
      </c>
      <c r="G9" s="18"/>
      <c r="H9" s="6"/>
      <c r="P9" s="4" t="s">
        <v>1</v>
      </c>
      <c r="T9" s="5" t="s">
        <v>13</v>
      </c>
      <c r="U9" s="18"/>
      <c r="V9" s="6"/>
    </row>
    <row r="10" spans="2:22" x14ac:dyDescent="0.3">
      <c r="B10" s="23"/>
      <c r="H10" s="6"/>
      <c r="P10" s="7"/>
      <c r="V10" s="6"/>
    </row>
    <row r="11" spans="2:22" x14ac:dyDescent="0.3">
      <c r="B11" s="10" t="s">
        <v>52</v>
      </c>
      <c r="F11" s="5" t="s">
        <v>2</v>
      </c>
      <c r="H11" s="6"/>
      <c r="P11" s="4" t="s">
        <v>52</v>
      </c>
      <c r="T11" s="5" t="s">
        <v>2</v>
      </c>
      <c r="V11" s="6"/>
    </row>
    <row r="12" spans="2:22" x14ac:dyDescent="0.3">
      <c r="B12" s="10"/>
      <c r="F12" s="5"/>
      <c r="H12" s="6"/>
      <c r="P12" s="4"/>
      <c r="T12" s="5"/>
      <c r="V12" s="6"/>
    </row>
    <row r="13" spans="2:22" x14ac:dyDescent="0.3">
      <c r="B13" s="10" t="s">
        <v>19</v>
      </c>
      <c r="F13" s="5" t="s">
        <v>4</v>
      </c>
      <c r="H13" s="6"/>
      <c r="P13" s="4" t="s">
        <v>19</v>
      </c>
      <c r="T13" s="5" t="s">
        <v>4</v>
      </c>
      <c r="V13" s="6"/>
    </row>
    <row r="14" spans="2:22" x14ac:dyDescent="0.3">
      <c r="B14" s="23"/>
      <c r="H14" s="6"/>
      <c r="P14" s="7"/>
      <c r="V14" s="6"/>
    </row>
    <row r="15" spans="2:22" x14ac:dyDescent="0.3">
      <c r="B15" s="10" t="s">
        <v>15</v>
      </c>
      <c r="C15" s="20"/>
      <c r="F15" s="5" t="s">
        <v>16</v>
      </c>
      <c r="G15" s="20"/>
      <c r="H15" s="6"/>
      <c r="P15" s="4" t="s">
        <v>15</v>
      </c>
      <c r="Q15" s="20"/>
      <c r="R15" s="20"/>
      <c r="S15" s="20"/>
      <c r="T15" s="22" t="s">
        <v>16</v>
      </c>
      <c r="U15" s="20"/>
      <c r="V15" s="6"/>
    </row>
    <row r="16" spans="2:22" x14ac:dyDescent="0.3">
      <c r="B16" s="23"/>
      <c r="H16" s="6"/>
      <c r="P16" s="7"/>
      <c r="U16" s="20"/>
      <c r="V16" s="6"/>
    </row>
    <row r="17" spans="2:22" x14ac:dyDescent="0.3">
      <c r="B17" s="10" t="s">
        <v>3</v>
      </c>
      <c r="D17" s="8"/>
      <c r="F17" s="5" t="s">
        <v>17</v>
      </c>
      <c r="G17" s="14"/>
      <c r="H17" s="6"/>
      <c r="N17" s="21"/>
      <c r="P17" s="4" t="s">
        <v>3</v>
      </c>
      <c r="R17" s="8"/>
      <c r="T17" s="5" t="s">
        <v>17</v>
      </c>
      <c r="U17" s="20"/>
      <c r="V17" s="6"/>
    </row>
    <row r="18" spans="2:22" x14ac:dyDescent="0.3">
      <c r="B18" s="7"/>
      <c r="H18" s="6"/>
      <c r="N18" s="21"/>
      <c r="P18" s="7"/>
      <c r="V18" s="6"/>
    </row>
    <row r="19" spans="2:22" x14ac:dyDescent="0.3">
      <c r="B19" s="7"/>
      <c r="H19" s="6"/>
      <c r="P19" s="7"/>
      <c r="V19" s="6"/>
    </row>
    <row r="20" spans="2:22" x14ac:dyDescent="0.3">
      <c r="B20" s="7"/>
      <c r="C20" s="8" t="s">
        <v>5</v>
      </c>
      <c r="G20" s="8" t="s">
        <v>9</v>
      </c>
      <c r="H20" s="6"/>
      <c r="J20" s="20"/>
      <c r="P20" s="7"/>
      <c r="Q20" s="8" t="s">
        <v>5</v>
      </c>
      <c r="S20" s="8" t="s">
        <v>129</v>
      </c>
      <c r="U20" s="8"/>
      <c r="V20" s="6"/>
    </row>
    <row r="21" spans="2:22" x14ac:dyDescent="0.3">
      <c r="B21" s="4" t="s">
        <v>6</v>
      </c>
      <c r="F21" s="9">
        <v>0.85</v>
      </c>
      <c r="G21">
        <f>C21*0.85</f>
        <v>0</v>
      </c>
      <c r="H21" s="6"/>
      <c r="J21" s="20"/>
      <c r="P21" s="4" t="s">
        <v>6</v>
      </c>
      <c r="S21">
        <f>Q21*7.5</f>
        <v>0</v>
      </c>
      <c r="T21" s="9"/>
      <c r="V21" s="6"/>
    </row>
    <row r="22" spans="2:22" x14ac:dyDescent="0.3">
      <c r="B22" s="4" t="s">
        <v>7</v>
      </c>
      <c r="G22">
        <f>C22</f>
        <v>0</v>
      </c>
      <c r="H22" s="6"/>
      <c r="P22" s="4" t="s">
        <v>7</v>
      </c>
      <c r="S22">
        <f t="shared" ref="S22:S23" si="0">Q22*7.5</f>
        <v>0</v>
      </c>
      <c r="V22" s="6"/>
    </row>
    <row r="23" spans="2:22" x14ac:dyDescent="0.3">
      <c r="B23" s="4" t="s">
        <v>8</v>
      </c>
      <c r="H23" s="6"/>
      <c r="P23" s="4" t="s">
        <v>8</v>
      </c>
      <c r="S23">
        <f t="shared" si="0"/>
        <v>0</v>
      </c>
      <c r="V23" s="6"/>
    </row>
    <row r="24" spans="2:22" x14ac:dyDescent="0.3">
      <c r="B24" s="10" t="s">
        <v>10</v>
      </c>
      <c r="C24">
        <f>SUM(C21:C23)</f>
        <v>0</v>
      </c>
      <c r="F24" s="5" t="s">
        <v>10</v>
      </c>
      <c r="G24">
        <f>SUM(G21:G22)</f>
        <v>0</v>
      </c>
      <c r="H24" s="6"/>
      <c r="P24" s="10" t="s">
        <v>10</v>
      </c>
      <c r="Q24">
        <f>SUM(Q21:Q23)</f>
        <v>0</v>
      </c>
      <c r="T24" s="5"/>
      <c r="V24" s="6"/>
    </row>
    <row r="25" spans="2:22" x14ac:dyDescent="0.3">
      <c r="B25" s="10" t="s">
        <v>11</v>
      </c>
      <c r="C25">
        <f>C24*7.5</f>
        <v>0</v>
      </c>
      <c r="F25" s="5" t="s">
        <v>11</v>
      </c>
      <c r="G25">
        <f>G24*7.5</f>
        <v>0</v>
      </c>
      <c r="H25" s="6"/>
      <c r="P25" s="10" t="s">
        <v>11</v>
      </c>
      <c r="Q25">
        <f>Q24*7.5</f>
        <v>0</v>
      </c>
      <c r="T25" s="5"/>
      <c r="V25" s="6"/>
    </row>
    <row r="26" spans="2:22" x14ac:dyDescent="0.3">
      <c r="B26" s="15" t="s">
        <v>59</v>
      </c>
      <c r="C26" s="12"/>
      <c r="D26" s="12"/>
      <c r="E26" s="12"/>
      <c r="F26" s="16"/>
      <c r="G26" s="12"/>
      <c r="H26" s="13"/>
      <c r="P26" s="15" t="s">
        <v>59</v>
      </c>
      <c r="Q26" s="12"/>
      <c r="R26" s="12"/>
      <c r="S26" s="12"/>
      <c r="T26" s="16"/>
      <c r="U26" s="12"/>
      <c r="V26" s="13"/>
    </row>
    <row r="27" spans="2:22" x14ac:dyDescent="0.3">
      <c r="B27" s="7"/>
      <c r="H27" s="6"/>
      <c r="P27" s="7"/>
      <c r="V27" s="6"/>
    </row>
    <row r="28" spans="2:22" x14ac:dyDescent="0.3">
      <c r="B28" s="4" t="s">
        <v>18</v>
      </c>
      <c r="C28">
        <f>C25-G25-C23*7.5</f>
        <v>0</v>
      </c>
      <c r="H28" s="6"/>
      <c r="P28" s="4"/>
      <c r="V28" s="6"/>
    </row>
    <row r="29" spans="2:22" x14ac:dyDescent="0.3">
      <c r="B29" s="4" t="s">
        <v>60</v>
      </c>
      <c r="C29">
        <f>C23*7.5</f>
        <v>0</v>
      </c>
      <c r="H29" s="6"/>
      <c r="P29" s="4"/>
      <c r="V29" s="6"/>
    </row>
    <row r="30" spans="2:22" x14ac:dyDescent="0.3">
      <c r="B30" s="11"/>
      <c r="C30" s="17">
        <f>SUM(C28:C29)</f>
        <v>0</v>
      </c>
      <c r="D30" s="12"/>
      <c r="E30" s="12"/>
      <c r="F30" s="12"/>
      <c r="G30" s="12"/>
      <c r="H30" s="13"/>
      <c r="P30" s="11"/>
      <c r="Q30" s="12"/>
      <c r="R30" s="12"/>
      <c r="S30" s="12"/>
      <c r="T30" s="12"/>
      <c r="U30" s="12"/>
      <c r="V30" s="13"/>
    </row>
  </sheetData>
  <dataValidations disablePrompts="1" count="4">
    <dataValidation type="list" allowBlank="1" showInputMessage="1" showErrorMessage="1" sqref="Q13" xr:uid="{930E6E72-04C9-45B6-B1E3-F332AC046454}">
      <formula1>Propiedad</formula1>
    </dataValidation>
    <dataValidation type="list" allowBlank="1" showInputMessage="1" showErrorMessage="1" sqref="G13" xr:uid="{C05A8DA3-656A-4E60-A835-D1B5437C13B1}">
      <formula1>INDIRECT($C$13)</formula1>
    </dataValidation>
    <dataValidation type="list" allowBlank="1" showInputMessage="1" showErrorMessage="1" sqref="C13" xr:uid="{3A7DADB4-1C05-42B3-BF2E-CB265F1BD0DA}">
      <formula1>Propietarios</formula1>
    </dataValidation>
    <dataValidation type="list" allowBlank="1" showInputMessage="1" showErrorMessage="1" sqref="U13" xr:uid="{A6624C1E-437A-404A-8240-F65C7FAC69F8}">
      <formula1>Familia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uardarRegistroCoHost">
                <anchor moveWithCells="1" sizeWithCells="1">
                  <from>
                    <xdr:col>9</xdr:col>
                    <xdr:colOff>15240</xdr:colOff>
                    <xdr:row>9</xdr:row>
                    <xdr:rowOff>7620</xdr:rowOff>
                  </from>
                  <to>
                    <xdr:col>11</xdr:col>
                    <xdr:colOff>541020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LimpiarRegistros">
                <anchor moveWithCells="1" sizeWithCells="1">
                  <from>
                    <xdr:col>9</xdr:col>
                    <xdr:colOff>15240</xdr:colOff>
                    <xdr:row>13</xdr:row>
                    <xdr:rowOff>53340</xdr:rowOff>
                  </from>
                  <to>
                    <xdr:col>11</xdr:col>
                    <xdr:colOff>541020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GuardarRegistrosPropios">
                <anchor moveWithCells="1" sizeWithCells="1">
                  <from>
                    <xdr:col>23</xdr:col>
                    <xdr:colOff>15240</xdr:colOff>
                    <xdr:row>9</xdr:row>
                    <xdr:rowOff>7620</xdr:rowOff>
                  </from>
                  <to>
                    <xdr:col>25</xdr:col>
                    <xdr:colOff>541020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LimpiarRegistrosPropios">
                <anchor moveWithCells="1" sizeWithCells="1">
                  <from>
                    <xdr:col>23</xdr:col>
                    <xdr:colOff>15240</xdr:colOff>
                    <xdr:row>13</xdr:row>
                    <xdr:rowOff>53340</xdr:rowOff>
                  </from>
                  <to>
                    <xdr:col>25</xdr:col>
                    <xdr:colOff>541020</xdr:colOff>
                    <xdr:row>16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9A665-0F98-4610-9CDF-3016897748DE}">
  <sheetPr codeName="Sheet3"/>
  <dimension ref="A1:N27"/>
  <sheetViews>
    <sheetView tabSelected="1" workbookViewId="0">
      <selection activeCell="I1" sqref="I1"/>
    </sheetView>
  </sheetViews>
  <sheetFormatPr defaultRowHeight="14.4" x14ac:dyDescent="0.3"/>
  <cols>
    <col min="1" max="1" width="25" customWidth="1"/>
    <col min="5" max="6" width="10.33203125" style="20" bestFit="1" customWidth="1"/>
    <col min="8" max="8" width="10.33203125" style="20" bestFit="1" customWidth="1"/>
    <col min="9" max="10" width="14.6640625" customWidth="1"/>
  </cols>
  <sheetData>
    <row r="1" spans="1:14" x14ac:dyDescent="0.3">
      <c r="A1" s="8" t="s">
        <v>160</v>
      </c>
      <c r="B1" s="8" t="s">
        <v>12</v>
      </c>
      <c r="C1" s="8" t="s">
        <v>161</v>
      </c>
      <c r="D1" s="8" t="s">
        <v>162</v>
      </c>
      <c r="E1" s="24" t="s">
        <v>14</v>
      </c>
      <c r="F1" s="24" t="s">
        <v>22</v>
      </c>
      <c r="G1" s="8" t="s">
        <v>159</v>
      </c>
      <c r="H1" s="24" t="s">
        <v>163</v>
      </c>
      <c r="I1" s="8" t="s">
        <v>9</v>
      </c>
      <c r="J1" s="8" t="s">
        <v>0</v>
      </c>
      <c r="K1" s="8" t="s">
        <v>153</v>
      </c>
      <c r="L1" s="8" t="s">
        <v>154</v>
      </c>
      <c r="M1" s="8" t="s">
        <v>155</v>
      </c>
      <c r="N1" s="8" t="s">
        <v>156</v>
      </c>
    </row>
    <row r="2" spans="1:14" x14ac:dyDescent="0.3">
      <c r="A2" t="s">
        <v>152</v>
      </c>
      <c r="B2">
        <v>0</v>
      </c>
      <c r="C2">
        <v>1</v>
      </c>
      <c r="D2">
        <v>0</v>
      </c>
      <c r="E2" s="20">
        <v>45715</v>
      </c>
      <c r="F2" s="20">
        <v>45717</v>
      </c>
      <c r="G2">
        <v>2</v>
      </c>
      <c r="H2" s="20">
        <v>0</v>
      </c>
      <c r="I2" t="s">
        <v>46</v>
      </c>
      <c r="J2" t="s">
        <v>29</v>
      </c>
      <c r="K2">
        <v>547.5</v>
      </c>
      <c r="L2">
        <v>411.75</v>
      </c>
      <c r="M2">
        <v>60.75</v>
      </c>
      <c r="N2">
        <v>75</v>
      </c>
    </row>
    <row r="3" spans="1:14" x14ac:dyDescent="0.3">
      <c r="A3" t="s">
        <v>151</v>
      </c>
      <c r="B3">
        <v>0</v>
      </c>
      <c r="C3">
        <v>2</v>
      </c>
      <c r="D3">
        <v>0</v>
      </c>
      <c r="E3" s="20">
        <v>45724</v>
      </c>
      <c r="F3" s="20">
        <v>45726</v>
      </c>
      <c r="G3">
        <v>2</v>
      </c>
      <c r="H3" s="20">
        <v>0</v>
      </c>
      <c r="I3" t="s">
        <v>46</v>
      </c>
      <c r="J3" t="s">
        <v>30</v>
      </c>
      <c r="K3">
        <v>547.5</v>
      </c>
      <c r="L3">
        <v>411.75</v>
      </c>
      <c r="M3">
        <v>60.75</v>
      </c>
      <c r="N3">
        <v>75</v>
      </c>
    </row>
    <row r="4" spans="1:14" x14ac:dyDescent="0.3">
      <c r="A4" t="s">
        <v>150</v>
      </c>
      <c r="B4">
        <v>0</v>
      </c>
      <c r="C4">
        <v>1</v>
      </c>
      <c r="D4">
        <v>0</v>
      </c>
      <c r="E4" s="20">
        <v>45704</v>
      </c>
      <c r="F4" s="20">
        <v>45709</v>
      </c>
      <c r="G4">
        <v>5</v>
      </c>
      <c r="H4" s="20">
        <v>0</v>
      </c>
      <c r="I4" t="s">
        <v>46</v>
      </c>
      <c r="J4" t="s">
        <v>30</v>
      </c>
      <c r="K4">
        <v>1237.5</v>
      </c>
      <c r="L4">
        <v>1010.625</v>
      </c>
      <c r="M4">
        <v>151.875</v>
      </c>
      <c r="N4">
        <v>75</v>
      </c>
    </row>
    <row r="5" spans="1:14" x14ac:dyDescent="0.3">
      <c r="A5" t="s">
        <v>148</v>
      </c>
      <c r="B5" t="s">
        <v>149</v>
      </c>
      <c r="C5">
        <v>1</v>
      </c>
      <c r="D5">
        <v>0</v>
      </c>
      <c r="E5" s="20">
        <v>45716</v>
      </c>
      <c r="F5" s="20">
        <v>45717</v>
      </c>
      <c r="G5">
        <v>1</v>
      </c>
      <c r="H5" s="20">
        <v>0</v>
      </c>
      <c r="I5" t="s">
        <v>47</v>
      </c>
      <c r="J5" t="s">
        <v>32</v>
      </c>
      <c r="K5">
        <v>337.5</v>
      </c>
      <c r="L5">
        <v>229.875</v>
      </c>
      <c r="M5">
        <v>32.625</v>
      </c>
      <c r="N5">
        <v>75</v>
      </c>
    </row>
    <row r="6" spans="1:14" x14ac:dyDescent="0.3">
      <c r="A6" t="s">
        <v>148</v>
      </c>
      <c r="B6" t="s">
        <v>149</v>
      </c>
      <c r="C6">
        <v>1</v>
      </c>
      <c r="D6">
        <v>0</v>
      </c>
      <c r="E6" s="20">
        <v>45714</v>
      </c>
      <c r="F6" s="20">
        <v>45716</v>
      </c>
      <c r="G6">
        <v>2</v>
      </c>
      <c r="H6" s="20">
        <v>0</v>
      </c>
      <c r="I6" t="s">
        <v>47</v>
      </c>
      <c r="J6" t="s">
        <v>32</v>
      </c>
      <c r="K6">
        <v>582</v>
      </c>
      <c r="L6">
        <v>441.75</v>
      </c>
      <c r="M6">
        <v>65.25</v>
      </c>
      <c r="N6">
        <v>75</v>
      </c>
    </row>
    <row r="7" spans="1:14" x14ac:dyDescent="0.3">
      <c r="A7" t="s">
        <v>147</v>
      </c>
      <c r="B7">
        <v>0</v>
      </c>
      <c r="C7">
        <v>2</v>
      </c>
      <c r="D7">
        <v>0</v>
      </c>
      <c r="E7" s="20">
        <v>45702</v>
      </c>
      <c r="F7" s="20">
        <v>45705</v>
      </c>
      <c r="G7">
        <v>3</v>
      </c>
      <c r="H7" s="20">
        <v>0</v>
      </c>
      <c r="I7" t="s">
        <v>47</v>
      </c>
      <c r="J7" t="s">
        <v>32</v>
      </c>
      <c r="K7">
        <v>832.5</v>
      </c>
      <c r="L7">
        <v>659.625</v>
      </c>
      <c r="M7">
        <v>97.875</v>
      </c>
      <c r="N7">
        <v>75</v>
      </c>
    </row>
    <row r="8" spans="1:14" x14ac:dyDescent="0.3">
      <c r="A8" t="s">
        <v>141</v>
      </c>
      <c r="B8">
        <v>0</v>
      </c>
      <c r="C8">
        <v>4</v>
      </c>
      <c r="D8">
        <v>0</v>
      </c>
      <c r="E8" s="20" t="s">
        <v>64</v>
      </c>
      <c r="F8" s="20" t="s">
        <v>142</v>
      </c>
      <c r="G8">
        <v>1</v>
      </c>
      <c r="H8" s="20">
        <v>0</v>
      </c>
      <c r="I8" t="s">
        <v>48</v>
      </c>
      <c r="J8" t="s">
        <v>35</v>
      </c>
      <c r="K8">
        <v>405</v>
      </c>
      <c r="L8">
        <v>288.375</v>
      </c>
      <c r="M8">
        <v>41.625</v>
      </c>
      <c r="N8">
        <v>75</v>
      </c>
    </row>
    <row r="9" spans="1:14" x14ac:dyDescent="0.3">
      <c r="A9" t="s">
        <v>140</v>
      </c>
      <c r="B9">
        <v>0</v>
      </c>
      <c r="C9">
        <v>4</v>
      </c>
      <c r="D9">
        <v>0</v>
      </c>
      <c r="E9" s="20" t="s">
        <v>66</v>
      </c>
      <c r="F9" s="20" t="s">
        <v>64</v>
      </c>
      <c r="G9">
        <v>3</v>
      </c>
      <c r="H9" s="20">
        <v>0</v>
      </c>
      <c r="I9" t="s">
        <v>48</v>
      </c>
      <c r="J9" t="s">
        <v>35</v>
      </c>
      <c r="K9">
        <v>1350</v>
      </c>
      <c r="L9">
        <v>1108.5</v>
      </c>
      <c r="M9">
        <v>166.5</v>
      </c>
      <c r="N9">
        <v>75</v>
      </c>
    </row>
    <row r="10" spans="1:14" x14ac:dyDescent="0.3">
      <c r="A10" t="s">
        <v>71</v>
      </c>
      <c r="B10">
        <v>0</v>
      </c>
      <c r="C10">
        <v>2</v>
      </c>
      <c r="D10">
        <v>0</v>
      </c>
      <c r="E10" s="20" t="s">
        <v>62</v>
      </c>
      <c r="F10" s="20" t="s">
        <v>66</v>
      </c>
      <c r="G10">
        <v>1</v>
      </c>
      <c r="H10" s="20">
        <v>0</v>
      </c>
      <c r="I10" t="s">
        <v>48</v>
      </c>
      <c r="J10" t="s">
        <v>35</v>
      </c>
      <c r="K10">
        <v>405</v>
      </c>
      <c r="L10">
        <v>288.375</v>
      </c>
      <c r="M10">
        <v>41.625</v>
      </c>
      <c r="N10">
        <v>75</v>
      </c>
    </row>
    <row r="11" spans="1:14" x14ac:dyDescent="0.3">
      <c r="A11" t="s">
        <v>70</v>
      </c>
      <c r="B11">
        <v>0</v>
      </c>
      <c r="C11">
        <v>4</v>
      </c>
      <c r="D11">
        <v>0</v>
      </c>
      <c r="E11" s="20">
        <v>45992</v>
      </c>
      <c r="F11" s="20" t="s">
        <v>62</v>
      </c>
      <c r="G11">
        <v>5</v>
      </c>
      <c r="H11" s="20">
        <v>0</v>
      </c>
      <c r="I11" t="s">
        <v>48</v>
      </c>
      <c r="J11" t="s">
        <v>35</v>
      </c>
      <c r="K11">
        <v>1352.325</v>
      </c>
      <c r="L11">
        <v>1110.8249999999998</v>
      </c>
      <c r="M11">
        <v>166.50000000000023</v>
      </c>
      <c r="N11">
        <v>75</v>
      </c>
    </row>
    <row r="12" spans="1:14" x14ac:dyDescent="0.3">
      <c r="A12" t="s">
        <v>69</v>
      </c>
      <c r="B12">
        <v>0</v>
      </c>
      <c r="C12">
        <v>2</v>
      </c>
      <c r="D12">
        <v>0</v>
      </c>
      <c r="E12" s="20">
        <v>45962</v>
      </c>
      <c r="F12" s="20">
        <v>45992</v>
      </c>
      <c r="G12">
        <v>1</v>
      </c>
      <c r="H12" s="20">
        <v>0</v>
      </c>
      <c r="I12" t="s">
        <v>48</v>
      </c>
      <c r="J12" t="s">
        <v>35</v>
      </c>
      <c r="K12">
        <v>402.3</v>
      </c>
      <c r="L12">
        <v>285.67499999999995</v>
      </c>
      <c r="M12">
        <v>41.625000000000057</v>
      </c>
      <c r="N12">
        <v>75</v>
      </c>
    </row>
    <row r="13" spans="1:14" x14ac:dyDescent="0.3">
      <c r="A13" t="s">
        <v>135</v>
      </c>
      <c r="B13">
        <v>0</v>
      </c>
      <c r="C13">
        <v>2</v>
      </c>
      <c r="D13">
        <v>0</v>
      </c>
      <c r="E13" s="20" t="s">
        <v>138</v>
      </c>
      <c r="F13" s="20" t="s">
        <v>139</v>
      </c>
      <c r="G13">
        <v>6</v>
      </c>
      <c r="H13" s="20">
        <v>0</v>
      </c>
      <c r="I13" t="s">
        <v>46</v>
      </c>
      <c r="J13" t="s">
        <v>45</v>
      </c>
      <c r="K13">
        <v>1470</v>
      </c>
      <c r="L13">
        <v>1212.75</v>
      </c>
      <c r="M13">
        <v>182.25</v>
      </c>
      <c r="N13">
        <v>75</v>
      </c>
    </row>
    <row r="14" spans="1:14" x14ac:dyDescent="0.3">
      <c r="A14" t="s">
        <v>136</v>
      </c>
      <c r="B14">
        <v>0</v>
      </c>
      <c r="C14">
        <v>2</v>
      </c>
      <c r="D14">
        <v>0</v>
      </c>
      <c r="E14" s="20" t="s">
        <v>137</v>
      </c>
      <c r="F14" s="20" t="s">
        <v>138</v>
      </c>
      <c r="G14">
        <v>1</v>
      </c>
      <c r="H14" s="20">
        <v>0</v>
      </c>
      <c r="I14" t="s">
        <v>46</v>
      </c>
      <c r="J14" t="s">
        <v>45</v>
      </c>
      <c r="K14">
        <v>547.5</v>
      </c>
      <c r="L14">
        <v>411.75</v>
      </c>
      <c r="M14">
        <v>60.75</v>
      </c>
      <c r="N14">
        <v>75</v>
      </c>
    </row>
    <row r="15" spans="1:14" x14ac:dyDescent="0.3">
      <c r="A15" t="s">
        <v>127</v>
      </c>
      <c r="B15">
        <v>0</v>
      </c>
      <c r="C15">
        <v>2</v>
      </c>
      <c r="D15">
        <v>0</v>
      </c>
      <c r="E15" s="20" t="s">
        <v>57</v>
      </c>
      <c r="F15" s="20" t="s">
        <v>58</v>
      </c>
      <c r="G15">
        <v>3</v>
      </c>
      <c r="H15" s="20">
        <v>0</v>
      </c>
      <c r="I15" t="s">
        <v>47</v>
      </c>
      <c r="J15" t="s">
        <v>32</v>
      </c>
      <c r="K15">
        <v>830.17499999999995</v>
      </c>
      <c r="L15">
        <v>657.3</v>
      </c>
      <c r="M15">
        <v>97.875</v>
      </c>
      <c r="N15">
        <v>75</v>
      </c>
    </row>
    <row r="16" spans="1:14" x14ac:dyDescent="0.3">
      <c r="A16" t="s">
        <v>125</v>
      </c>
      <c r="B16">
        <v>0</v>
      </c>
      <c r="C16">
        <v>1</v>
      </c>
      <c r="D16">
        <v>0</v>
      </c>
      <c r="E16" s="20" t="s">
        <v>122</v>
      </c>
      <c r="F16" s="20" t="s">
        <v>126</v>
      </c>
      <c r="G16">
        <v>1</v>
      </c>
      <c r="H16" s="20">
        <v>0</v>
      </c>
      <c r="I16" t="s">
        <v>46</v>
      </c>
      <c r="J16" t="s">
        <v>30</v>
      </c>
      <c r="K16">
        <v>315</v>
      </c>
      <c r="L16">
        <v>209.625</v>
      </c>
      <c r="M16">
        <v>30.375</v>
      </c>
      <c r="N16">
        <v>75</v>
      </c>
    </row>
    <row r="17" spans="1:14" x14ac:dyDescent="0.3">
      <c r="A17" t="s">
        <v>124</v>
      </c>
      <c r="B17">
        <v>0</v>
      </c>
      <c r="C17">
        <v>2</v>
      </c>
      <c r="D17">
        <v>0</v>
      </c>
      <c r="E17" s="20">
        <v>45871</v>
      </c>
      <c r="F17" s="20">
        <v>45902</v>
      </c>
      <c r="G17">
        <v>1</v>
      </c>
      <c r="H17" s="20">
        <v>0</v>
      </c>
      <c r="I17" t="s">
        <v>46</v>
      </c>
      <c r="J17" t="s">
        <v>30</v>
      </c>
      <c r="K17">
        <v>315</v>
      </c>
      <c r="L17">
        <v>209.625</v>
      </c>
      <c r="M17">
        <v>30.375</v>
      </c>
      <c r="N17">
        <v>75</v>
      </c>
    </row>
    <row r="18" spans="1:14" x14ac:dyDescent="0.3">
      <c r="A18" t="s">
        <v>123</v>
      </c>
      <c r="B18">
        <v>0</v>
      </c>
      <c r="C18">
        <v>2</v>
      </c>
      <c r="D18">
        <v>0</v>
      </c>
      <c r="E18" s="20">
        <v>45690</v>
      </c>
      <c r="F18" s="20">
        <v>45718</v>
      </c>
      <c r="G18">
        <v>1</v>
      </c>
      <c r="H18" s="20">
        <v>0</v>
      </c>
      <c r="I18" t="s">
        <v>46</v>
      </c>
      <c r="J18" t="s">
        <v>30</v>
      </c>
      <c r="K18">
        <v>315</v>
      </c>
      <c r="L18">
        <v>209.625</v>
      </c>
      <c r="M18">
        <v>30.375</v>
      </c>
      <c r="N18">
        <v>75</v>
      </c>
    </row>
    <row r="19" spans="1:14" x14ac:dyDescent="0.3">
      <c r="A19" t="s">
        <v>121</v>
      </c>
      <c r="B19">
        <v>0</v>
      </c>
      <c r="C19">
        <v>2</v>
      </c>
      <c r="D19">
        <v>0</v>
      </c>
      <c r="E19" s="20" t="s">
        <v>56</v>
      </c>
      <c r="F19" s="20" t="s">
        <v>122</v>
      </c>
      <c r="G19">
        <v>31</v>
      </c>
      <c r="H19" s="20">
        <v>0</v>
      </c>
      <c r="I19" t="s">
        <v>46</v>
      </c>
      <c r="J19" t="s">
        <v>29</v>
      </c>
      <c r="K19">
        <v>7015.35</v>
      </c>
      <c r="L19">
        <v>5990.4674999999997</v>
      </c>
      <c r="M19">
        <v>949.88250000000062</v>
      </c>
      <c r="N19">
        <v>75</v>
      </c>
    </row>
    <row r="20" spans="1:14" x14ac:dyDescent="0.3">
      <c r="A20" t="s">
        <v>120</v>
      </c>
      <c r="B20">
        <v>0</v>
      </c>
      <c r="C20">
        <v>2</v>
      </c>
      <c r="D20">
        <v>0</v>
      </c>
      <c r="E20" s="20" t="s">
        <v>55</v>
      </c>
      <c r="F20" s="20" t="s">
        <v>56</v>
      </c>
      <c r="G20">
        <v>2</v>
      </c>
      <c r="H20" s="20">
        <v>0</v>
      </c>
      <c r="I20" t="s">
        <v>46</v>
      </c>
      <c r="J20" t="s">
        <v>29</v>
      </c>
      <c r="K20">
        <v>705</v>
      </c>
      <c r="L20">
        <v>547.875</v>
      </c>
      <c r="M20">
        <v>82.125</v>
      </c>
      <c r="N20">
        <v>75</v>
      </c>
    </row>
    <row r="21" spans="1:14" x14ac:dyDescent="0.3">
      <c r="A21" t="s">
        <v>71</v>
      </c>
      <c r="B21">
        <v>0</v>
      </c>
      <c r="C21">
        <v>4</v>
      </c>
      <c r="D21">
        <v>0</v>
      </c>
      <c r="E21" s="20" t="s">
        <v>62</v>
      </c>
      <c r="F21" s="20" t="s">
        <v>66</v>
      </c>
      <c r="G21">
        <v>1</v>
      </c>
      <c r="H21" s="20">
        <v>0</v>
      </c>
      <c r="I21" t="s">
        <v>48</v>
      </c>
      <c r="J21" t="s">
        <v>35</v>
      </c>
      <c r="K21">
        <v>405</v>
      </c>
      <c r="L21">
        <v>288.375</v>
      </c>
      <c r="M21">
        <v>41.625</v>
      </c>
      <c r="N21">
        <v>75</v>
      </c>
    </row>
    <row r="22" spans="1:14" x14ac:dyDescent="0.3">
      <c r="A22" t="s">
        <v>70</v>
      </c>
      <c r="B22">
        <v>0</v>
      </c>
      <c r="C22">
        <v>4</v>
      </c>
      <c r="D22">
        <v>0</v>
      </c>
      <c r="E22" s="20">
        <v>45992</v>
      </c>
      <c r="F22" s="20" t="s">
        <v>62</v>
      </c>
      <c r="G22">
        <v>5</v>
      </c>
      <c r="H22" s="20">
        <v>0</v>
      </c>
      <c r="I22" t="s">
        <v>48</v>
      </c>
      <c r="J22" t="s">
        <v>35</v>
      </c>
      <c r="K22">
        <v>1352.325</v>
      </c>
      <c r="L22">
        <v>1110.8249999999998</v>
      </c>
      <c r="M22">
        <v>166.50000000000023</v>
      </c>
      <c r="N22">
        <v>75</v>
      </c>
    </row>
    <row r="23" spans="1:14" x14ac:dyDescent="0.3">
      <c r="A23" t="s">
        <v>69</v>
      </c>
      <c r="B23">
        <v>0</v>
      </c>
      <c r="C23">
        <v>2</v>
      </c>
      <c r="D23">
        <v>0</v>
      </c>
      <c r="E23" s="20">
        <v>45962</v>
      </c>
      <c r="F23" s="20">
        <v>45992</v>
      </c>
      <c r="G23">
        <v>1</v>
      </c>
      <c r="H23" s="20">
        <v>0</v>
      </c>
      <c r="I23" t="s">
        <v>48</v>
      </c>
      <c r="J23" t="s">
        <v>35</v>
      </c>
      <c r="K23">
        <v>402.3</v>
      </c>
      <c r="L23">
        <v>285.67499999999995</v>
      </c>
      <c r="M23">
        <v>41.625000000000057</v>
      </c>
      <c r="N23">
        <v>75</v>
      </c>
    </row>
    <row r="24" spans="1:14" x14ac:dyDescent="0.3">
      <c r="A24" t="s">
        <v>67</v>
      </c>
      <c r="B24">
        <v>0</v>
      </c>
      <c r="C24">
        <v>2</v>
      </c>
      <c r="D24">
        <v>0</v>
      </c>
      <c r="E24" s="20" t="s">
        <v>66</v>
      </c>
      <c r="F24" s="20" t="s">
        <v>63</v>
      </c>
      <c r="G24">
        <v>1</v>
      </c>
      <c r="H24" s="20">
        <v>0</v>
      </c>
      <c r="I24" t="s">
        <v>46</v>
      </c>
      <c r="J24" t="s">
        <v>30</v>
      </c>
      <c r="K24">
        <v>315</v>
      </c>
      <c r="L24">
        <v>209.625</v>
      </c>
      <c r="M24">
        <v>30.375</v>
      </c>
      <c r="N24">
        <v>75</v>
      </c>
    </row>
    <row r="25" spans="1:14" x14ac:dyDescent="0.3">
      <c r="A25" t="s">
        <v>65</v>
      </c>
      <c r="B25">
        <v>0</v>
      </c>
      <c r="C25">
        <v>3</v>
      </c>
      <c r="D25">
        <v>0</v>
      </c>
      <c r="E25" s="20" t="s">
        <v>54</v>
      </c>
      <c r="F25" s="20" t="s">
        <v>66</v>
      </c>
      <c r="G25">
        <v>2</v>
      </c>
      <c r="H25" s="20">
        <v>0</v>
      </c>
      <c r="I25" t="s">
        <v>46</v>
      </c>
      <c r="J25" t="s">
        <v>30</v>
      </c>
      <c r="K25">
        <v>547.5</v>
      </c>
      <c r="L25">
        <v>411.75</v>
      </c>
      <c r="M25">
        <v>60.75</v>
      </c>
      <c r="N25">
        <v>75</v>
      </c>
    </row>
    <row r="26" spans="1:14" x14ac:dyDescent="0.3">
      <c r="A26" t="s">
        <v>53</v>
      </c>
      <c r="B26">
        <v>0</v>
      </c>
      <c r="C26">
        <v>3</v>
      </c>
      <c r="D26">
        <v>0</v>
      </c>
      <c r="E26" s="20" t="s">
        <v>64</v>
      </c>
      <c r="F26" s="20" t="s">
        <v>57</v>
      </c>
      <c r="G26">
        <v>3</v>
      </c>
      <c r="H26" s="20">
        <v>0</v>
      </c>
      <c r="I26" t="s">
        <v>46</v>
      </c>
      <c r="J26" t="s">
        <v>29</v>
      </c>
      <c r="K26">
        <v>780</v>
      </c>
      <c r="L26">
        <v>613.875</v>
      </c>
      <c r="M26">
        <v>91.125</v>
      </c>
      <c r="N26">
        <v>75</v>
      </c>
    </row>
    <row r="27" spans="1:14" x14ac:dyDescent="0.3">
      <c r="A27" t="s">
        <v>61</v>
      </c>
      <c r="B27">
        <v>0</v>
      </c>
      <c r="C27">
        <v>2</v>
      </c>
      <c r="D27">
        <v>0</v>
      </c>
      <c r="E27" s="20" t="s">
        <v>62</v>
      </c>
      <c r="F27" s="20" t="s">
        <v>63</v>
      </c>
      <c r="G27">
        <v>2</v>
      </c>
      <c r="H27" s="20">
        <v>0</v>
      </c>
      <c r="I27" t="s">
        <v>46</v>
      </c>
      <c r="J27" t="s">
        <v>29</v>
      </c>
      <c r="K27">
        <v>547.5</v>
      </c>
      <c r="L27">
        <v>411.75</v>
      </c>
      <c r="M27">
        <v>60.75</v>
      </c>
      <c r="N27">
        <v>75</v>
      </c>
    </row>
  </sheetData>
  <autoFilter ref="A1:N27" xr:uid="{7909A665-0F98-4610-9CDF-3016897748D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2AD5D-E62D-41B0-B796-F95A60A95B9E}">
  <dimension ref="A1:N7"/>
  <sheetViews>
    <sheetView workbookViewId="0">
      <selection activeCell="I9" sqref="I9"/>
    </sheetView>
  </sheetViews>
  <sheetFormatPr defaultRowHeight="14.4" x14ac:dyDescent="0.3"/>
  <cols>
    <col min="1" max="1" width="26.33203125" customWidth="1"/>
    <col min="5" max="6" width="10.33203125" style="20" bestFit="1" customWidth="1"/>
    <col min="8" max="8" width="10.33203125" style="20" bestFit="1" customWidth="1"/>
    <col min="10" max="10" width="17.21875" bestFit="1" customWidth="1"/>
  </cols>
  <sheetData>
    <row r="1" spans="1:14" x14ac:dyDescent="0.3">
      <c r="A1" s="8" t="s">
        <v>160</v>
      </c>
      <c r="B1" s="8" t="s">
        <v>12</v>
      </c>
      <c r="C1" s="8" t="s">
        <v>161</v>
      </c>
      <c r="D1" s="8" t="s">
        <v>162</v>
      </c>
      <c r="E1" s="24" t="s">
        <v>14</v>
      </c>
      <c r="F1" s="24" t="s">
        <v>22</v>
      </c>
      <c r="G1" s="8" t="s">
        <v>159</v>
      </c>
      <c r="H1" s="24" t="s">
        <v>163</v>
      </c>
      <c r="I1" s="8" t="s">
        <v>9</v>
      </c>
      <c r="J1" s="8" t="s">
        <v>0</v>
      </c>
      <c r="K1" s="8" t="s">
        <v>153</v>
      </c>
      <c r="L1" s="8" t="s">
        <v>157</v>
      </c>
      <c r="M1" s="8" t="s">
        <v>158</v>
      </c>
      <c r="N1" s="8" t="s">
        <v>156</v>
      </c>
    </row>
    <row r="2" spans="1:14" x14ac:dyDescent="0.3">
      <c r="A2" t="s">
        <v>145</v>
      </c>
      <c r="B2" t="s">
        <v>146</v>
      </c>
      <c r="C2">
        <v>2</v>
      </c>
      <c r="D2">
        <v>0</v>
      </c>
      <c r="E2" s="20">
        <v>45715</v>
      </c>
      <c r="F2" s="20">
        <v>45732</v>
      </c>
      <c r="G2">
        <v>17</v>
      </c>
      <c r="H2" s="20">
        <v>0</v>
      </c>
      <c r="I2" t="s">
        <v>119</v>
      </c>
      <c r="J2" t="s">
        <v>44</v>
      </c>
      <c r="K2">
        <v>4963.4249999999993</v>
      </c>
      <c r="L2">
        <v>4350</v>
      </c>
      <c r="M2">
        <v>538.42500000000007</v>
      </c>
      <c r="N2">
        <v>75</v>
      </c>
    </row>
    <row r="3" spans="1:14" x14ac:dyDescent="0.3">
      <c r="A3" t="s">
        <v>143</v>
      </c>
      <c r="B3">
        <v>0</v>
      </c>
      <c r="C3">
        <v>3</v>
      </c>
      <c r="D3">
        <v>0</v>
      </c>
      <c r="E3" s="20" t="s">
        <v>144</v>
      </c>
      <c r="F3" s="20">
        <v>45659</v>
      </c>
      <c r="G3">
        <v>4</v>
      </c>
      <c r="H3" s="20">
        <v>0</v>
      </c>
      <c r="I3" t="s">
        <v>119</v>
      </c>
      <c r="J3" t="s">
        <v>43</v>
      </c>
      <c r="K3">
        <v>2263.4250000000002</v>
      </c>
      <c r="L3">
        <v>2100</v>
      </c>
      <c r="M3">
        <v>65.924999999999997</v>
      </c>
      <c r="N3">
        <v>97.5</v>
      </c>
    </row>
    <row r="4" spans="1:14" x14ac:dyDescent="0.3">
      <c r="A4" t="s">
        <v>135</v>
      </c>
      <c r="B4">
        <v>0</v>
      </c>
      <c r="C4">
        <v>1</v>
      </c>
      <c r="D4">
        <v>0</v>
      </c>
      <c r="E4" s="20">
        <v>45659</v>
      </c>
      <c r="F4" s="20">
        <v>45690</v>
      </c>
      <c r="G4">
        <v>1</v>
      </c>
      <c r="H4" s="20">
        <v>0</v>
      </c>
      <c r="I4" t="s">
        <v>119</v>
      </c>
      <c r="J4" t="s">
        <v>128</v>
      </c>
      <c r="K4">
        <v>307.5</v>
      </c>
      <c r="L4">
        <v>195</v>
      </c>
      <c r="M4">
        <v>37.5</v>
      </c>
      <c r="N4">
        <v>75</v>
      </c>
    </row>
    <row r="5" spans="1:14" x14ac:dyDescent="0.3">
      <c r="A5" t="s">
        <v>132</v>
      </c>
      <c r="B5">
        <v>0</v>
      </c>
      <c r="C5">
        <v>1</v>
      </c>
      <c r="D5">
        <v>0</v>
      </c>
      <c r="E5" s="20" t="s">
        <v>133</v>
      </c>
      <c r="F5" s="20" t="s">
        <v>134</v>
      </c>
      <c r="G5">
        <v>2</v>
      </c>
      <c r="H5" s="20">
        <v>0</v>
      </c>
      <c r="I5" t="s">
        <v>119</v>
      </c>
      <c r="J5" t="s">
        <v>128</v>
      </c>
      <c r="K5">
        <v>532.5</v>
      </c>
      <c r="L5">
        <v>390</v>
      </c>
      <c r="M5">
        <v>67.5</v>
      </c>
      <c r="N5">
        <v>75</v>
      </c>
    </row>
    <row r="6" spans="1:14" x14ac:dyDescent="0.3">
      <c r="A6" t="s">
        <v>130</v>
      </c>
      <c r="B6">
        <v>0</v>
      </c>
      <c r="C6">
        <v>4</v>
      </c>
      <c r="D6">
        <v>0</v>
      </c>
      <c r="E6" s="20" t="s">
        <v>66</v>
      </c>
      <c r="F6" s="20" t="s">
        <v>131</v>
      </c>
      <c r="G6">
        <v>2</v>
      </c>
      <c r="H6" s="20">
        <v>0</v>
      </c>
      <c r="I6" t="s">
        <v>119</v>
      </c>
      <c r="J6" t="s">
        <v>128</v>
      </c>
      <c r="K6">
        <v>532.5</v>
      </c>
      <c r="L6">
        <v>390</v>
      </c>
      <c r="M6">
        <v>67.5</v>
      </c>
      <c r="N6">
        <v>75</v>
      </c>
    </row>
    <row r="7" spans="1:14" x14ac:dyDescent="0.3">
      <c r="A7" t="s">
        <v>68</v>
      </c>
      <c r="B7">
        <v>0</v>
      </c>
      <c r="C7">
        <v>2</v>
      </c>
      <c r="D7">
        <v>0</v>
      </c>
      <c r="E7" s="20" t="s">
        <v>54</v>
      </c>
      <c r="F7" s="20" t="s">
        <v>62</v>
      </c>
      <c r="G7">
        <v>1</v>
      </c>
      <c r="H7" s="20">
        <v>0</v>
      </c>
      <c r="I7" t="s">
        <v>119</v>
      </c>
      <c r="J7" t="s">
        <v>128</v>
      </c>
      <c r="K7">
        <v>307.5</v>
      </c>
      <c r="L7">
        <v>195</v>
      </c>
      <c r="M7">
        <v>37.5</v>
      </c>
      <c r="N7">
        <v>75</v>
      </c>
    </row>
  </sheetData>
  <autoFilter ref="A1:N1" xr:uid="{0A02AD5D-E62D-41B0-B796-F95A60A95B9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3B224-2E71-4890-B70D-E70547DC2CAF}">
  <sheetPr codeName="Sheet2"/>
  <dimension ref="A1:AE28"/>
  <sheetViews>
    <sheetView workbookViewId="0">
      <selection activeCell="I2" sqref="I2:I7"/>
    </sheetView>
  </sheetViews>
  <sheetFormatPr defaultRowHeight="14.4" x14ac:dyDescent="0.3"/>
  <cols>
    <col min="1" max="1" width="9.88671875" bestFit="1" customWidth="1"/>
  </cols>
  <sheetData>
    <row r="1" spans="1:31" x14ac:dyDescent="0.3">
      <c r="A1" t="s">
        <v>9</v>
      </c>
      <c r="B1" t="s">
        <v>0</v>
      </c>
      <c r="E1" t="s">
        <v>9</v>
      </c>
      <c r="F1" t="s">
        <v>0</v>
      </c>
      <c r="I1" t="s">
        <v>9</v>
      </c>
    </row>
    <row r="2" spans="1:31" x14ac:dyDescent="0.3">
      <c r="A2" t="s">
        <v>31</v>
      </c>
      <c r="B2" t="s">
        <v>29</v>
      </c>
      <c r="E2" t="s">
        <v>119</v>
      </c>
      <c r="F2" t="s">
        <v>128</v>
      </c>
      <c r="I2" t="s">
        <v>46</v>
      </c>
      <c r="X2" t="s">
        <v>92</v>
      </c>
      <c r="Y2" s="18" t="s">
        <v>83</v>
      </c>
      <c r="AE2" s="18" t="s">
        <v>82</v>
      </c>
    </row>
    <row r="3" spans="1:31" x14ac:dyDescent="0.3">
      <c r="A3" t="s">
        <v>31</v>
      </c>
      <c r="B3" t="s">
        <v>30</v>
      </c>
      <c r="F3" t="s">
        <v>44</v>
      </c>
      <c r="I3" t="s">
        <v>47</v>
      </c>
      <c r="N3" t="s">
        <v>73</v>
      </c>
      <c r="V3" t="s">
        <v>84</v>
      </c>
      <c r="W3">
        <v>510</v>
      </c>
      <c r="Y3" t="s">
        <v>90</v>
      </c>
      <c r="AE3" s="18" t="s">
        <v>91</v>
      </c>
    </row>
    <row r="4" spans="1:31" x14ac:dyDescent="0.3">
      <c r="A4" t="s">
        <v>31</v>
      </c>
      <c r="B4" t="s">
        <v>36</v>
      </c>
      <c r="F4" t="s">
        <v>43</v>
      </c>
      <c r="I4" t="s">
        <v>48</v>
      </c>
      <c r="Y4" t="s">
        <v>85</v>
      </c>
      <c r="AE4" s="18" t="s">
        <v>89</v>
      </c>
    </row>
    <row r="5" spans="1:31" x14ac:dyDescent="0.3">
      <c r="A5" t="s">
        <v>31</v>
      </c>
      <c r="B5" t="s">
        <v>118</v>
      </c>
      <c r="I5" t="s">
        <v>49</v>
      </c>
      <c r="AE5" s="18"/>
    </row>
    <row r="6" spans="1:31" x14ac:dyDescent="0.3">
      <c r="A6" t="s">
        <v>31</v>
      </c>
      <c r="B6" t="s">
        <v>45</v>
      </c>
      <c r="I6" t="s">
        <v>50</v>
      </c>
      <c r="N6" t="s">
        <v>72</v>
      </c>
      <c r="X6" t="s">
        <v>87</v>
      </c>
      <c r="Y6" t="s">
        <v>94</v>
      </c>
      <c r="AE6" s="18" t="s">
        <v>86</v>
      </c>
    </row>
    <row r="7" spans="1:31" x14ac:dyDescent="0.3">
      <c r="A7" t="s">
        <v>33</v>
      </c>
      <c r="B7" t="s">
        <v>32</v>
      </c>
      <c r="I7" t="s">
        <v>51</v>
      </c>
      <c r="N7" t="s">
        <v>74</v>
      </c>
      <c r="Y7" t="s">
        <v>88</v>
      </c>
    </row>
    <row r="8" spans="1:31" x14ac:dyDescent="0.3">
      <c r="A8" t="s">
        <v>34</v>
      </c>
      <c r="B8" t="s">
        <v>35</v>
      </c>
      <c r="Y8" t="s">
        <v>80</v>
      </c>
    </row>
    <row r="9" spans="1:31" x14ac:dyDescent="0.3">
      <c r="A9" t="s">
        <v>38</v>
      </c>
      <c r="B9" t="s">
        <v>37</v>
      </c>
      <c r="N9" t="s">
        <v>75</v>
      </c>
      <c r="X9" t="s">
        <v>93</v>
      </c>
      <c r="Y9" t="s">
        <v>81</v>
      </c>
    </row>
    <row r="10" spans="1:31" x14ac:dyDescent="0.3">
      <c r="A10" t="s">
        <v>40</v>
      </c>
      <c r="B10" t="s">
        <v>39</v>
      </c>
      <c r="Y10" t="s">
        <v>95</v>
      </c>
    </row>
    <row r="11" spans="1:31" x14ac:dyDescent="0.3">
      <c r="A11" t="s">
        <v>42</v>
      </c>
      <c r="B11" t="s">
        <v>41</v>
      </c>
      <c r="N11" t="s">
        <v>76</v>
      </c>
      <c r="Y11" s="18" t="s">
        <v>96</v>
      </c>
    </row>
    <row r="13" spans="1:31" x14ac:dyDescent="0.3">
      <c r="N13" t="s">
        <v>77</v>
      </c>
    </row>
    <row r="15" spans="1:31" x14ac:dyDescent="0.3">
      <c r="N15" t="s">
        <v>78</v>
      </c>
      <c r="Y15" s="18"/>
    </row>
    <row r="17" spans="1:25" x14ac:dyDescent="0.3">
      <c r="N17" t="s">
        <v>79</v>
      </c>
    </row>
    <row r="18" spans="1:25" x14ac:dyDescent="0.3">
      <c r="Y18" s="18"/>
    </row>
    <row r="21" spans="1:25" x14ac:dyDescent="0.3">
      <c r="Y21" s="18"/>
    </row>
    <row r="23" spans="1:25" x14ac:dyDescent="0.3">
      <c r="A23" t="s">
        <v>20</v>
      </c>
      <c r="Y23" s="18"/>
    </row>
    <row r="24" spans="1:25" x14ac:dyDescent="0.3">
      <c r="A24" t="s">
        <v>26</v>
      </c>
      <c r="Y24" s="18"/>
    </row>
    <row r="25" spans="1:25" x14ac:dyDescent="0.3">
      <c r="A25" t="s">
        <v>21</v>
      </c>
      <c r="Y25" s="18"/>
    </row>
    <row r="27" spans="1:25" x14ac:dyDescent="0.3">
      <c r="A27" t="s">
        <v>27</v>
      </c>
    </row>
    <row r="28" spans="1:25" x14ac:dyDescent="0.3">
      <c r="A28" s="19" t="s">
        <v>28</v>
      </c>
    </row>
  </sheetData>
  <hyperlinks>
    <hyperlink ref="A28" r:id="rId1" xr:uid="{E66E1A2E-23C8-4005-8952-47321E95CBD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BE32-D94F-4C95-AC21-E0050FF7B09F}">
  <dimension ref="A1:F23"/>
  <sheetViews>
    <sheetView workbookViewId="0">
      <selection activeCell="T3" sqref="T3"/>
    </sheetView>
  </sheetViews>
  <sheetFormatPr defaultRowHeight="14.4" x14ac:dyDescent="0.3"/>
  <sheetData>
    <row r="1" spans="1:6" x14ac:dyDescent="0.3">
      <c r="A1" s="8" t="s">
        <v>97</v>
      </c>
      <c r="C1" s="8" t="s">
        <v>98</v>
      </c>
      <c r="F1" s="8" t="s">
        <v>99</v>
      </c>
    </row>
    <row r="2" spans="1:6" x14ac:dyDescent="0.3">
      <c r="A2" t="s">
        <v>100</v>
      </c>
      <c r="C2" t="s">
        <v>100</v>
      </c>
      <c r="F2" t="s">
        <v>100</v>
      </c>
    </row>
    <row r="3" spans="1:6" x14ac:dyDescent="0.3">
      <c r="A3" t="s">
        <v>101</v>
      </c>
    </row>
    <row r="4" spans="1:6" x14ac:dyDescent="0.3">
      <c r="A4" t="s">
        <v>102</v>
      </c>
      <c r="C4" t="s">
        <v>102</v>
      </c>
      <c r="F4" t="s">
        <v>102</v>
      </c>
    </row>
    <row r="5" spans="1:6" x14ac:dyDescent="0.3">
      <c r="A5" t="s">
        <v>12</v>
      </c>
      <c r="C5" t="s">
        <v>12</v>
      </c>
    </row>
    <row r="6" spans="1:6" x14ac:dyDescent="0.3">
      <c r="A6" t="s">
        <v>103</v>
      </c>
      <c r="C6" t="s">
        <v>103</v>
      </c>
      <c r="F6" t="s">
        <v>103</v>
      </c>
    </row>
    <row r="7" spans="1:6" x14ac:dyDescent="0.3">
      <c r="A7" t="s">
        <v>104</v>
      </c>
      <c r="C7" t="s">
        <v>104</v>
      </c>
      <c r="F7" t="s">
        <v>104</v>
      </c>
    </row>
    <row r="8" spans="1:6" x14ac:dyDescent="0.3">
      <c r="A8" t="s">
        <v>105</v>
      </c>
      <c r="F8" t="s">
        <v>105</v>
      </c>
    </row>
    <row r="9" spans="1:6" x14ac:dyDescent="0.3">
      <c r="A9" t="s">
        <v>106</v>
      </c>
      <c r="C9" t="s">
        <v>14</v>
      </c>
      <c r="F9" t="s">
        <v>106</v>
      </c>
    </row>
    <row r="10" spans="1:6" x14ac:dyDescent="0.3">
      <c r="A10" t="s">
        <v>107</v>
      </c>
      <c r="C10" t="s">
        <v>22</v>
      </c>
      <c r="F10" t="s">
        <v>107</v>
      </c>
    </row>
    <row r="11" spans="1:6" x14ac:dyDescent="0.3">
      <c r="A11" t="s">
        <v>108</v>
      </c>
      <c r="C11" t="s">
        <v>108</v>
      </c>
      <c r="F11" t="s">
        <v>108</v>
      </c>
    </row>
    <row r="12" spans="1:6" x14ac:dyDescent="0.3">
      <c r="A12" t="s">
        <v>109</v>
      </c>
      <c r="C12" t="s">
        <v>23</v>
      </c>
      <c r="F12" t="s">
        <v>109</v>
      </c>
    </row>
    <row r="13" spans="1:6" x14ac:dyDescent="0.3">
      <c r="C13" t="s">
        <v>9</v>
      </c>
    </row>
    <row r="14" spans="1:6" x14ac:dyDescent="0.3">
      <c r="A14" t="s">
        <v>110</v>
      </c>
      <c r="C14" t="s">
        <v>0</v>
      </c>
      <c r="F14" t="s">
        <v>110</v>
      </c>
    </row>
    <row r="15" spans="1:6" x14ac:dyDescent="0.3">
      <c r="A15" t="s">
        <v>111</v>
      </c>
      <c r="C15" t="s">
        <v>24</v>
      </c>
    </row>
    <row r="16" spans="1:6" x14ac:dyDescent="0.3">
      <c r="C16" t="s">
        <v>112</v>
      </c>
    </row>
    <row r="17" spans="1:6" x14ac:dyDescent="0.3">
      <c r="C17" t="s">
        <v>25</v>
      </c>
    </row>
    <row r="18" spans="1:6" x14ac:dyDescent="0.3">
      <c r="C18" t="s">
        <v>8</v>
      </c>
    </row>
    <row r="19" spans="1:6" x14ac:dyDescent="0.3">
      <c r="A19" t="s">
        <v>113</v>
      </c>
      <c r="C19" t="s">
        <v>113</v>
      </c>
      <c r="F19" t="s">
        <v>113</v>
      </c>
    </row>
    <row r="20" spans="1:6" x14ac:dyDescent="0.3">
      <c r="F20" t="s">
        <v>114</v>
      </c>
    </row>
    <row r="21" spans="1:6" x14ac:dyDescent="0.3">
      <c r="F21" t="s">
        <v>115</v>
      </c>
    </row>
    <row r="22" spans="1:6" x14ac:dyDescent="0.3">
      <c r="F22" t="s">
        <v>116</v>
      </c>
    </row>
    <row r="23" spans="1:6" x14ac:dyDescent="0.3">
      <c r="F23" t="s">
        <v>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Formulario</vt:lpstr>
      <vt:lpstr>BBDD CoHost</vt:lpstr>
      <vt:lpstr>BBDD Anfitrion</vt:lpstr>
      <vt:lpstr>Sheet3</vt:lpstr>
      <vt:lpstr>Sheet4</vt:lpstr>
      <vt:lpstr>Betty_Vargas</vt:lpstr>
      <vt:lpstr>Boris_Ayviri</vt:lpstr>
      <vt:lpstr>Dr._Ortiz</vt:lpstr>
      <vt:lpstr>error</vt:lpstr>
      <vt:lpstr>Familia</vt:lpstr>
      <vt:lpstr>Gabriela_Salama</vt:lpstr>
      <vt:lpstr>Lic._Freddy_Soria</vt:lpstr>
      <vt:lpstr>Propiedad</vt:lpstr>
      <vt:lpstr>Propietario</vt:lpstr>
      <vt:lpstr>Propietarios</vt:lpstr>
      <vt:lpstr>Roberto_Vargas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Carlos Orellana Vargas</dc:creator>
  <cp:lastModifiedBy>José Carlos Orellana Vargas</cp:lastModifiedBy>
  <dcterms:created xsi:type="dcterms:W3CDTF">2025-01-24T15:09:15Z</dcterms:created>
  <dcterms:modified xsi:type="dcterms:W3CDTF">2025-03-21T20:03:50Z</dcterms:modified>
</cp:coreProperties>
</file>